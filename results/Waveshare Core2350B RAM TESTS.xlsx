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7cdffa36771bf37/Documents/GitHub/A2F_Proto/PicoMemPerf/results/"/>
    </mc:Choice>
  </mc:AlternateContent>
  <xr:revisionPtr revIDLastSave="116" documentId="8_{371DA9FD-E41C-43C9-BDF4-C539CEB410EE}" xr6:coauthVersionLast="47" xr6:coauthVersionMax="47" xr10:uidLastSave="{DCC05F31-B987-47A2-99B7-0984C328CF16}"/>
  <bookViews>
    <workbookView xWindow="280" yWindow="2160" windowWidth="16240" windowHeight="14880" xr2:uid="{3A3B97E8-19D5-4A3F-AE2A-898938F7F575}"/>
  </bookViews>
  <sheets>
    <sheet name="Waveshare Core2350B RAM TESTS" sheetId="1" r:id="rId1"/>
  </sheets>
  <definedNames>
    <definedName name="clock_hz">'Waveshare Core2350B RAM TESTS'!$D$2</definedName>
    <definedName name="IterationCount">'Waveshare Core2350B RAM TESTS'!$B$5</definedName>
    <definedName name="OverHead">'Waveshare Core2350B RAM TESTS'!$E$5</definedName>
  </definedNames>
  <calcPr calcId="0"/>
</workbook>
</file>

<file path=xl/calcChain.xml><?xml version="1.0" encoding="utf-8"?>
<calcChain xmlns="http://schemas.openxmlformats.org/spreadsheetml/2006/main">
  <c r="B5" i="1" l="1"/>
  <c r="E10" i="1" s="1"/>
  <c r="E18" i="1" l="1"/>
  <c r="G18" i="1" s="1"/>
  <c r="E9" i="1"/>
  <c r="E17" i="1"/>
  <c r="G17" i="1" s="1"/>
  <c r="E16" i="1"/>
  <c r="F16" i="1" s="1"/>
  <c r="E8" i="1"/>
  <c r="F8" i="1" s="1"/>
  <c r="G10" i="1" s="1"/>
  <c r="E14" i="1"/>
  <c r="E13" i="1"/>
  <c r="E15" i="1"/>
  <c r="E21" i="1"/>
  <c r="G21" i="1" s="1"/>
  <c r="E20" i="1"/>
  <c r="G20" i="1" s="1"/>
  <c r="E12" i="1"/>
  <c r="F12" i="1" s="1"/>
  <c r="E19" i="1"/>
  <c r="F19" i="1" s="1"/>
  <c r="E11" i="1"/>
  <c r="G15" i="1" l="1"/>
  <c r="G13" i="1"/>
  <c r="G14" i="1"/>
  <c r="G9" i="1"/>
  <c r="G11" i="1"/>
</calcChain>
</file>

<file path=xl/sharedStrings.xml><?xml version="1.0" encoding="utf-8"?>
<sst xmlns="http://schemas.openxmlformats.org/spreadsheetml/2006/main" count="45" uniqueCount="34">
  <si>
    <t>Max Select: 18</t>
  </si>
  <si>
    <t xml:space="preserve"> Min Deselect: 2</t>
  </si>
  <si>
    <t xml:space="preserve"> clock divider: 2</t>
  </si>
  <si>
    <t>_psram_size</t>
  </si>
  <si>
    <t xml:space="preserve"> clock_hz</t>
  </si>
  <si>
    <t xml:space="preserve"> free_heap</t>
  </si>
  <si>
    <t xml:space="preserve"> free_heap_after</t>
  </si>
  <si>
    <t xml:space="preserve"> SEQ SRAM READ</t>
  </si>
  <si>
    <t xml:space="preserve"> 0x20002BC8</t>
  </si>
  <si>
    <t xml:space="preserve"> SEQ ROM READ</t>
  </si>
  <si>
    <t xml:space="preserve"> 0x10006158</t>
  </si>
  <si>
    <t xml:space="preserve"> SEQ PSRAM READ</t>
  </si>
  <si>
    <t xml:space="preserve"> 0x11000000</t>
  </si>
  <si>
    <t xml:space="preserve"> SEQ PSRAM NOCACHE READ</t>
  </si>
  <si>
    <t xml:space="preserve"> 0x14000000</t>
  </si>
  <si>
    <t xml:space="preserve"> RND SRAM READ</t>
  </si>
  <si>
    <t xml:space="preserve"> RND ROM READ</t>
  </si>
  <si>
    <t xml:space="preserve"> RND PSRAM READ</t>
  </si>
  <si>
    <t xml:space="preserve"> RND PSRAM NOCACHE READ</t>
  </si>
  <si>
    <t xml:space="preserve"> SEQ SRAM WRITE</t>
  </si>
  <si>
    <t xml:space="preserve"> SEQ PSRAM WRITE</t>
  </si>
  <si>
    <t xml:space="preserve"> SEQ PSRAM NOCACHE WRITE</t>
  </si>
  <si>
    <t xml:space="preserve"> RND SRAM WRITE</t>
  </si>
  <si>
    <t xml:space="preserve"> RND PSRAM WRITE</t>
  </si>
  <si>
    <t xml:space="preserve"> RND PSRAM NOCACHE WRITE</t>
  </si>
  <si>
    <t>Test Name</t>
  </si>
  <si>
    <t>Memory</t>
  </si>
  <si>
    <t>Size</t>
  </si>
  <si>
    <t>LOOP_SCALE (200)            //  LOOP_SCALE * 100</t>
  </si>
  <si>
    <t>Msec</t>
  </si>
  <si>
    <t>Iteration Count</t>
  </si>
  <si>
    <t>Cycles per Iteration</t>
  </si>
  <si>
    <t>Overhead</t>
  </si>
  <si>
    <t>Ratio :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</si>
</sst>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76" formatCode="_(* #,##0_);_(* \(#,##0\);_(* &quot;-&quot;??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/>
    <xf numFmtId="2" fontId="0" fillId="0" borderId="0" xfId="0" applyNumberFormat="1"/>
    <xf numFmtId="176" fontId="0" fillId="0" borderId="0" xfId="1" applyNumberFormat="1" applyFont="1"/>
    <xf numFmtId="0" fontId="16" fillId="0" borderId="0" xfId="0" applyFont="1" applyAlignment="1">
      <alignment horizont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00A15-BA51-41CC-A7D2-08C7FF8702A2}">
  <dimension ref="A1:H21"/>
  <sheetViews>
    <sheetView tabSelected="1" workbookViewId="0">
      <selection activeCell="E24" sqref="E24"/>
    </sheetView>
  </sheetViews>
  <sheetFormatPr defaultRowHeight="14.5" x14ac:dyDescent="0.35"/>
  <cols>
    <col min="1" max="1" width="29.6328125" customWidth="1"/>
    <col min="2" max="2" width="14.08984375" customWidth="1"/>
    <col min="3" max="3" width="8.26953125" customWidth="1"/>
    <col min="4" max="4" width="13.81640625" customWidth="1"/>
    <col min="5" max="5" width="17.1796875" bestFit="1" customWidth="1"/>
    <col min="6" max="6" width="12.26953125" customWidth="1"/>
    <col min="8" max="8" width="11.1796875" bestFit="1" customWidth="1"/>
  </cols>
  <sheetData>
    <row r="1" spans="1:8" x14ac:dyDescent="0.35">
      <c r="A1" t="s">
        <v>0</v>
      </c>
      <c r="B1" t="s">
        <v>1</v>
      </c>
      <c r="C1" t="s">
        <v>2</v>
      </c>
    </row>
    <row r="2" spans="1:8" x14ac:dyDescent="0.35">
      <c r="A2" t="s">
        <v>3</v>
      </c>
      <c r="B2" s="3">
        <v>8388608</v>
      </c>
      <c r="C2" t="s">
        <v>4</v>
      </c>
      <c r="D2" s="3">
        <v>150000000</v>
      </c>
      <c r="E2" t="s">
        <v>5</v>
      </c>
      <c r="F2" s="3">
        <v>447500</v>
      </c>
      <c r="G2" t="s">
        <v>6</v>
      </c>
      <c r="H2" s="3">
        <v>447500</v>
      </c>
    </row>
    <row r="3" spans="1:8" x14ac:dyDescent="0.35">
      <c r="A3" t="s">
        <v>28</v>
      </c>
    </row>
    <row r="5" spans="1:8" x14ac:dyDescent="0.35">
      <c r="A5" t="s">
        <v>30</v>
      </c>
      <c r="B5" s="3">
        <f>(200 * 100) *C8</f>
        <v>327680000</v>
      </c>
      <c r="C5" t="s">
        <v>4</v>
      </c>
      <c r="D5" s="3">
        <v>150000000</v>
      </c>
      <c r="E5" s="2"/>
    </row>
    <row r="7" spans="1:8" s="1" customFormat="1" x14ac:dyDescent="0.35">
      <c r="A7" s="4" t="s">
        <v>25</v>
      </c>
      <c r="B7" s="4" t="s">
        <v>26</v>
      </c>
      <c r="C7" s="4" t="s">
        <v>27</v>
      </c>
      <c r="D7" s="4" t="s">
        <v>29</v>
      </c>
      <c r="E7" s="4" t="s">
        <v>31</v>
      </c>
      <c r="F7" s="4" t="s">
        <v>32</v>
      </c>
      <c r="G7" s="4" t="s">
        <v>33</v>
      </c>
    </row>
    <row r="8" spans="1:8" x14ac:dyDescent="0.35">
      <c r="A8" t="s">
        <v>7</v>
      </c>
      <c r="B8" t="s">
        <v>8</v>
      </c>
      <c r="C8">
        <v>16384</v>
      </c>
      <c r="D8" s="3">
        <v>9284829</v>
      </c>
      <c r="E8" s="2">
        <f>((D8/(1000*1000))*clock_hz)/IterationCount</f>
        <v>4.2502574157714843</v>
      </c>
      <c r="F8" s="2">
        <f>E8-1</f>
        <v>3.2502574157714843</v>
      </c>
    </row>
    <row r="9" spans="1:8" x14ac:dyDescent="0.35">
      <c r="A9" t="s">
        <v>9</v>
      </c>
      <c r="B9" t="s">
        <v>10</v>
      </c>
      <c r="C9">
        <v>16384</v>
      </c>
      <c r="D9" s="3">
        <v>64040290</v>
      </c>
      <c r="E9" s="2">
        <f>((D9/(1000*1000))*clock_hz)/IterationCount</f>
        <v>29.315318298339843</v>
      </c>
      <c r="G9" s="2">
        <f>E9-F8</f>
        <v>26.065060882568361</v>
      </c>
    </row>
    <row r="10" spans="1:8" x14ac:dyDescent="0.35">
      <c r="A10" t="s">
        <v>11</v>
      </c>
      <c r="B10" t="s">
        <v>12</v>
      </c>
      <c r="C10">
        <v>16384</v>
      </c>
      <c r="D10" s="3">
        <v>48045599</v>
      </c>
      <c r="E10" s="2">
        <f>((D10/(1000*1000))*clock_hz)/IterationCount</f>
        <v>21.993529815673828</v>
      </c>
      <c r="G10" s="2">
        <f>E10-F8</f>
        <v>18.743272399902345</v>
      </c>
    </row>
    <row r="11" spans="1:8" x14ac:dyDescent="0.35">
      <c r="A11" t="s">
        <v>13</v>
      </c>
      <c r="B11" t="s">
        <v>14</v>
      </c>
      <c r="C11">
        <v>16384</v>
      </c>
      <c r="D11" s="3">
        <v>66090753</v>
      </c>
      <c r="E11" s="2">
        <f>((D11/(1000*1000))*clock_hz)/IterationCount</f>
        <v>30.253945770263677</v>
      </c>
      <c r="G11" s="2">
        <f>E11-F8</f>
        <v>27.003688354492191</v>
      </c>
    </row>
    <row r="12" spans="1:8" x14ac:dyDescent="0.35">
      <c r="A12" t="s">
        <v>15</v>
      </c>
      <c r="B12" t="s">
        <v>8</v>
      </c>
      <c r="C12">
        <v>16384</v>
      </c>
      <c r="D12" s="3">
        <v>17476828</v>
      </c>
      <c r="E12" s="2">
        <f>((D12/(1000*1000))*clock_hz)/IterationCount</f>
        <v>8.000256958007812</v>
      </c>
      <c r="F12" s="2">
        <f>E12-1</f>
        <v>7.000256958007812</v>
      </c>
    </row>
    <row r="13" spans="1:8" x14ac:dyDescent="0.35">
      <c r="A13" t="s">
        <v>16</v>
      </c>
      <c r="B13" t="s">
        <v>10</v>
      </c>
      <c r="C13">
        <v>16384</v>
      </c>
      <c r="D13" s="3">
        <v>233707964</v>
      </c>
      <c r="E13" s="2">
        <f>((D13/(1000*1000))*clock_hz)/IterationCount</f>
        <v>106.98301574707031</v>
      </c>
      <c r="G13" s="2">
        <f>E13-F12</f>
        <v>99.982758789062501</v>
      </c>
    </row>
    <row r="14" spans="1:8" x14ac:dyDescent="0.35">
      <c r="A14" t="s">
        <v>17</v>
      </c>
      <c r="B14" t="s">
        <v>12</v>
      </c>
      <c r="C14">
        <v>16384</v>
      </c>
      <c r="D14" s="3">
        <v>138220924</v>
      </c>
      <c r="E14" s="2">
        <f>((D14/(1000*1000))*clock_hz)/IterationCount</f>
        <v>63.272517700195316</v>
      </c>
      <c r="G14" s="2">
        <f>E14-F12</f>
        <v>56.272260742187505</v>
      </c>
    </row>
    <row r="15" spans="1:8" x14ac:dyDescent="0.35">
      <c r="A15" t="s">
        <v>18</v>
      </c>
      <c r="B15" t="s">
        <v>14</v>
      </c>
      <c r="C15">
        <v>16384</v>
      </c>
      <c r="D15" s="3">
        <v>227077953</v>
      </c>
      <c r="E15" s="2">
        <f>((D15/(1000*1000))*clock_hz)/IterationCount</f>
        <v>103.94803756713867</v>
      </c>
      <c r="G15" s="2">
        <f>E15-F12</f>
        <v>96.947780609130859</v>
      </c>
    </row>
    <row r="16" spans="1:8" x14ac:dyDescent="0.35">
      <c r="A16" t="s">
        <v>19</v>
      </c>
      <c r="B16" t="s">
        <v>8</v>
      </c>
      <c r="C16">
        <v>16384</v>
      </c>
      <c r="D16" s="3">
        <v>13654031</v>
      </c>
      <c r="E16" s="2">
        <f>((D16/(1000*1000))*clock_hz)/IterationCount</f>
        <v>6.250319366455078</v>
      </c>
      <c r="F16" s="2">
        <f>E16-1</f>
        <v>5.250319366455078</v>
      </c>
    </row>
    <row r="17" spans="1:7" x14ac:dyDescent="0.35">
      <c r="A17" t="s">
        <v>20</v>
      </c>
      <c r="B17" t="s">
        <v>12</v>
      </c>
      <c r="C17">
        <v>16384</v>
      </c>
      <c r="D17" s="3">
        <v>144189214</v>
      </c>
      <c r="E17" s="2">
        <f>((D17/(1000*1000))*clock_hz)/IterationCount</f>
        <v>66.004584045410155</v>
      </c>
      <c r="G17" s="2">
        <f>E17-F16</f>
        <v>60.754264678955074</v>
      </c>
    </row>
    <row r="18" spans="1:7" x14ac:dyDescent="0.35">
      <c r="A18" t="s">
        <v>21</v>
      </c>
      <c r="B18" t="s">
        <v>14</v>
      </c>
      <c r="C18">
        <v>16384</v>
      </c>
      <c r="D18" s="3">
        <v>70443211</v>
      </c>
      <c r="E18" s="2">
        <f>((D18/(1000*1000))*clock_hz)/IterationCount</f>
        <v>32.246342926025392</v>
      </c>
      <c r="G18" s="2">
        <f>E18-F16</f>
        <v>26.996023559570315</v>
      </c>
    </row>
    <row r="19" spans="1:7" x14ac:dyDescent="0.35">
      <c r="A19" t="s">
        <v>22</v>
      </c>
      <c r="B19" t="s">
        <v>8</v>
      </c>
      <c r="C19">
        <v>16384</v>
      </c>
      <c r="D19" s="3">
        <v>18023094</v>
      </c>
      <c r="E19" s="2">
        <f>((D19/(1000*1000))*clock_hz)/IterationCount</f>
        <v>8.2503176879882805</v>
      </c>
      <c r="F19" s="2">
        <f>E19-1</f>
        <v>7.2503176879882805</v>
      </c>
    </row>
    <row r="20" spans="1:7" x14ac:dyDescent="0.35">
      <c r="A20" t="s">
        <v>23</v>
      </c>
      <c r="B20" t="s">
        <v>12</v>
      </c>
      <c r="C20">
        <v>16384</v>
      </c>
      <c r="D20" s="3">
        <v>235572917</v>
      </c>
      <c r="E20" s="2">
        <f>((D20/(1000*1000))*clock_hz)/IterationCount</f>
        <v>107.83672348022461</v>
      </c>
      <c r="G20" s="2">
        <f>E20-F19</f>
        <v>100.58640579223632</v>
      </c>
    </row>
    <row r="21" spans="1:7" x14ac:dyDescent="0.35">
      <c r="A21" t="s">
        <v>24</v>
      </c>
      <c r="B21" t="s">
        <v>14</v>
      </c>
      <c r="C21">
        <v>16384</v>
      </c>
      <c r="D21" s="3">
        <v>227078144</v>
      </c>
      <c r="E21" s="2">
        <f>((D21/(1000*1000))*clock_hz)/IterationCount</f>
        <v>103.948125</v>
      </c>
      <c r="G21" s="2">
        <f>E21-F19</f>
        <v>96.697807312011719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Waveshare Core2350B RAM TESTS</vt:lpstr>
      <vt:lpstr>clock_hz</vt:lpstr>
      <vt:lpstr>IterationCount</vt:lpstr>
      <vt:lpstr>OverHead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 Neil</cp:lastModifiedBy>
  <dcterms:created xsi:type="dcterms:W3CDTF">2025-11-09T16:07:52Z</dcterms:created>
  <dcterms:modified xsi:type="dcterms:W3CDTF">2025-11-10T14:37:18Z</dcterms:modified>
</cp:coreProperties>
</file>